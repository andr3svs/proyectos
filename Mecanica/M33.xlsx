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s\Practicas-Fisica\Mecanica\"/>
    </mc:Choice>
  </mc:AlternateContent>
  <xr:revisionPtr revIDLastSave="0" documentId="8_{80526994-92D2-436D-9270-83B0A74C6785}" xr6:coauthVersionLast="47" xr6:coauthVersionMax="47" xr10:uidLastSave="{00000000-0000-0000-0000-000000000000}"/>
  <bookViews>
    <workbookView xWindow="-108" yWindow="-108" windowWidth="23256" windowHeight="12456" xr2:uid="{30507091-A365-4BAF-81AB-92C407D8FA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64" i="1" l="1"/>
  <c r="H63" i="1"/>
  <c r="H62" i="1"/>
  <c r="H61" i="1"/>
  <c r="H60" i="1"/>
  <c r="H59" i="1"/>
  <c r="H57" i="1"/>
  <c r="H58" i="1"/>
  <c r="H56" i="1"/>
  <c r="H55" i="1"/>
  <c r="H54" i="1"/>
  <c r="H53" i="1"/>
  <c r="H52" i="1"/>
  <c r="H51" i="1"/>
  <c r="I50" i="1"/>
  <c r="H50" i="1"/>
  <c r="I47" i="1"/>
  <c r="I48" i="1"/>
  <c r="I49" i="1"/>
  <c r="H49" i="1"/>
  <c r="H48" i="1"/>
  <c r="H47" i="1"/>
  <c r="I45" i="1"/>
  <c r="I46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24" i="1"/>
  <c r="I25" i="1"/>
  <c r="I26" i="1"/>
  <c r="H26" i="1"/>
  <c r="H25" i="1"/>
  <c r="H24" i="1"/>
  <c r="I21" i="1"/>
  <c r="I22" i="1"/>
  <c r="I23" i="1"/>
  <c r="H23" i="1"/>
  <c r="H22" i="1"/>
  <c r="H21" i="1"/>
  <c r="H20" i="1"/>
  <c r="H19" i="1"/>
  <c r="H18" i="1"/>
  <c r="H17" i="1"/>
  <c r="H16" i="1"/>
  <c r="H15" i="1"/>
  <c r="I15" i="1"/>
  <c r="I16" i="1"/>
  <c r="I17" i="1"/>
  <c r="I18" i="1"/>
  <c r="I19" i="1"/>
  <c r="I20" i="1"/>
  <c r="H14" i="1"/>
  <c r="H13" i="1"/>
  <c r="I4" i="1"/>
  <c r="I5" i="1"/>
  <c r="I6" i="1"/>
  <c r="I7" i="1"/>
  <c r="I8" i="1"/>
  <c r="I9" i="1"/>
  <c r="I10" i="1"/>
  <c r="I11" i="1"/>
  <c r="I12" i="1"/>
  <c r="I13" i="1"/>
  <c r="I14" i="1"/>
  <c r="I3" i="1"/>
  <c r="H12" i="1"/>
  <c r="H11" i="1"/>
  <c r="H10" i="1"/>
  <c r="H9" i="1"/>
  <c r="H8" i="1"/>
  <c r="H7" i="1"/>
  <c r="H6" i="1"/>
  <c r="H5" i="1"/>
  <c r="H4" i="1"/>
  <c r="H3" i="1"/>
  <c r="H2" i="1"/>
  <c r="E7" i="1"/>
  <c r="E6" i="1"/>
  <c r="E5" i="1"/>
  <c r="E4" i="1"/>
  <c r="E3" i="1"/>
  <c r="E2" i="1"/>
  <c r="B7" i="1"/>
  <c r="B6" i="1"/>
  <c r="A6" i="1"/>
  <c r="B5" i="1"/>
  <c r="B4" i="1"/>
  <c r="B3" i="1"/>
  <c r="B2" i="1"/>
  <c r="A5" i="1"/>
  <c r="A4" i="1"/>
  <c r="A3" i="1"/>
  <c r="A2" i="1"/>
</calcChain>
</file>

<file path=xl/sharedStrings.xml><?xml version="1.0" encoding="utf-8"?>
<sst xmlns="http://schemas.openxmlformats.org/spreadsheetml/2006/main" count="8" uniqueCount="7">
  <si>
    <t>voltaje</t>
  </si>
  <si>
    <t>frecuencia maximo (kHz)</t>
  </si>
  <si>
    <t>frecuencia minima (kHz)</t>
  </si>
  <si>
    <t>volatje</t>
  </si>
  <si>
    <t>frec</t>
  </si>
  <si>
    <t>cm</t>
  </si>
  <si>
    <t>u(cm)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</si>
</sst>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D602E-78D3-485B-B010-6C122C79E74D}">
  <dimension ref="A1:J64"/>
  <sheetViews>
    <sheetView tabSelected="1" workbookViewId="0">
      <selection activeCell="H65" sqref="H65"/>
    </sheetView>
  </sheetViews>
  <sheetFormatPr defaultRowHeight="14.4" x14ac:dyDescent="0.3"/>
  <sheetData>
    <row r="1" spans="1:10" x14ac:dyDescent="0.3">
      <c r="A1" t="s">
        <v>1</v>
      </c>
      <c r="B1" t="s">
        <v>0</v>
      </c>
      <c r="D1" t="s">
        <v>2</v>
      </c>
      <c r="E1" t="s">
        <v>3</v>
      </c>
      <c r="G1" t="s">
        <v>4</v>
      </c>
      <c r="H1" t="s">
        <v>0</v>
      </c>
      <c r="I1" t="s">
        <v>5</v>
      </c>
      <c r="J1" t="s">
        <v>6</v>
      </c>
    </row>
    <row r="2" spans="1:10" x14ac:dyDescent="0.3">
      <c r="A2">
        <f>AVERAGE(1.38485,1.38428,1.38381)</f>
        <v>1.3843133333333331</v>
      </c>
      <c r="B2">
        <f>AVERAGE(5.71,5.72,9.24)</f>
        <v>6.8900000000000006</v>
      </c>
      <c r="D2">
        <v>1278</v>
      </c>
      <c r="E2">
        <f>AVERAGE(1.5,2.09,0.43)</f>
        <v>1.3399999999999999</v>
      </c>
      <c r="G2">
        <v>1576</v>
      </c>
      <c r="H2">
        <f>AVERAGE(14.68,8.19,9.69)</f>
        <v>10.853333333333332</v>
      </c>
      <c r="I2">
        <v>0</v>
      </c>
      <c r="J2">
        <v>0.1</v>
      </c>
    </row>
    <row r="3" spans="1:10" x14ac:dyDescent="0.3">
      <c r="A3">
        <f>AVERAGE(1.5773,1.57689,1.57467)</f>
        <v>1.5762866666666666</v>
      </c>
      <c r="B3">
        <f>AVERAGE(12.35,6.07,13.86)</f>
        <v>10.76</v>
      </c>
      <c r="D3">
        <v>1466</v>
      </c>
      <c r="E3">
        <f>AVERAGE(1.16,0.88,0.74)</f>
        <v>0.92666666666666675</v>
      </c>
      <c r="H3">
        <f>AVERAGE(14.47,11.5,18.51)</f>
        <v>14.826666666666668</v>
      </c>
      <c r="I3">
        <f>ROW()*0.5-1</f>
        <v>0.5</v>
      </c>
    </row>
    <row r="4" spans="1:10" x14ac:dyDescent="0.3">
      <c r="A4">
        <f>AVERAGE(1.68677,1.72312,1.71514)</f>
        <v>1.7083433333333333</v>
      </c>
      <c r="B4">
        <f>AVERAGE(2.89,3.66,1.56)</f>
        <v>2.7033333333333336</v>
      </c>
      <c r="D4">
        <v>1661</v>
      </c>
      <c r="E4">
        <f>AVERAGE(5.87,2.55,3.97)</f>
        <v>4.13</v>
      </c>
      <c r="H4">
        <f>AVERAGE(12.78,13.77,13.23)</f>
        <v>13.26</v>
      </c>
      <c r="I4">
        <f t="shared" ref="I4:I50" si="0">ROW()*0.5-1</f>
        <v>1</v>
      </c>
    </row>
    <row r="5" spans="1:10" x14ac:dyDescent="0.3">
      <c r="A5">
        <f>AVERAGE(1.8775,1.885,1.907)</f>
        <v>1.8898333333333335</v>
      </c>
      <c r="B5">
        <f>AVERAGE(1.43,1.68,1.11)</f>
        <v>1.4066666666666665</v>
      </c>
      <c r="D5">
        <v>1811</v>
      </c>
      <c r="E5">
        <f>AVERAGE(2.31,0.93,1.84)</f>
        <v>1.6933333333333334</v>
      </c>
      <c r="H5">
        <f>AVERAGE(6.52,8.72,7.03)</f>
        <v>7.4233333333333329</v>
      </c>
      <c r="I5">
        <f t="shared" si="0"/>
        <v>1.5</v>
      </c>
    </row>
    <row r="6" spans="1:10" x14ac:dyDescent="0.3">
      <c r="A6">
        <f>2070</f>
        <v>2070</v>
      </c>
      <c r="B6">
        <f>AVERAGE(6.67,2.45,3.99)</f>
        <v>4.37</v>
      </c>
      <c r="D6">
        <v>1999</v>
      </c>
      <c r="E6">
        <f>AVERAGE(0.51,1.34,1.19)</f>
        <v>1.0133333333333334</v>
      </c>
      <c r="H6">
        <f>AVERAGE(3.73,2.93,1.21)</f>
        <v>2.6233333333333335</v>
      </c>
      <c r="I6">
        <f t="shared" si="0"/>
        <v>2</v>
      </c>
    </row>
    <row r="7" spans="1:10" x14ac:dyDescent="0.3">
      <c r="A7">
        <v>2191</v>
      </c>
      <c r="B7">
        <f>AVERAGE(1.57,2.55,2.32)</f>
        <v>2.1466666666666665</v>
      </c>
      <c r="D7">
        <v>2117</v>
      </c>
      <c r="E7">
        <f>AVERAGE(2,1.1,0.79)</f>
        <v>1.2966666666666666</v>
      </c>
      <c r="H7">
        <f>AVERAGE(3.29,1.77,0.71)</f>
        <v>1.9233333333333336</v>
      </c>
      <c r="I7">
        <f t="shared" si="0"/>
        <v>2.5</v>
      </c>
    </row>
    <row r="8" spans="1:10" x14ac:dyDescent="0.3">
      <c r="H8">
        <f>AVERAGE(2.54,1.36,1.3)</f>
        <v>1.7333333333333334</v>
      </c>
      <c r="I8">
        <f t="shared" si="0"/>
        <v>3</v>
      </c>
    </row>
    <row r="9" spans="1:10" x14ac:dyDescent="0.3">
      <c r="H9">
        <f>AVERAGE(2.38,2.75,0.75)</f>
        <v>1.96</v>
      </c>
      <c r="I9">
        <f t="shared" si="0"/>
        <v>3.5</v>
      </c>
    </row>
    <row r="10" spans="1:10" x14ac:dyDescent="0.3">
      <c r="H10">
        <f>AVERAGE(0.58,0.54,0.38)</f>
        <v>0.5</v>
      </c>
      <c r="I10">
        <f t="shared" si="0"/>
        <v>4</v>
      </c>
    </row>
    <row r="11" spans="1:10" x14ac:dyDescent="0.3">
      <c r="H11">
        <f>AVERAGE(0.15,0.75,0.9)</f>
        <v>0.6</v>
      </c>
      <c r="I11">
        <f t="shared" si="0"/>
        <v>4.5</v>
      </c>
    </row>
    <row r="12" spans="1:10" x14ac:dyDescent="0.3">
      <c r="H12">
        <f>AVERAGE(0.23,1.05,0.56)</f>
        <v>0.6133333333333334</v>
      </c>
      <c r="I12">
        <f t="shared" si="0"/>
        <v>5</v>
      </c>
    </row>
    <row r="13" spans="1:10" x14ac:dyDescent="0.3">
      <c r="H13">
        <f>AVERAGE(1.14,1.29,1)</f>
        <v>1.1433333333333333</v>
      </c>
      <c r="I13">
        <f t="shared" si="0"/>
        <v>5.5</v>
      </c>
    </row>
    <row r="14" spans="1:10" x14ac:dyDescent="0.3">
      <c r="H14">
        <f>AVERAGE(0.96,0.2,0.78)</f>
        <v>0.64666666666666661</v>
      </c>
      <c r="I14">
        <f t="shared" si="0"/>
        <v>6</v>
      </c>
    </row>
    <row r="15" spans="1:10" x14ac:dyDescent="0.3">
      <c r="H15">
        <f>AVERAGE(0.53,1.77,1.76)</f>
        <v>1.3533333333333333</v>
      </c>
      <c r="I15">
        <f t="shared" si="0"/>
        <v>6.5</v>
      </c>
    </row>
    <row r="16" spans="1:10" x14ac:dyDescent="0.3">
      <c r="H16">
        <f>AVERAGE(1.93,0.92,1.4)</f>
        <v>1.4166666666666667</v>
      </c>
      <c r="I16">
        <f t="shared" si="0"/>
        <v>7</v>
      </c>
    </row>
    <row r="17" spans="8:9" x14ac:dyDescent="0.3">
      <c r="H17">
        <f>AVERAGE(2.7,1.1,2.2)</f>
        <v>2</v>
      </c>
      <c r="I17">
        <f t="shared" si="0"/>
        <v>7.5</v>
      </c>
    </row>
    <row r="18" spans="8:9" x14ac:dyDescent="0.3">
      <c r="H18">
        <f>AVERAGE(2.86,2.1,2.51)</f>
        <v>2.4899999999999998</v>
      </c>
      <c r="I18">
        <f t="shared" si="0"/>
        <v>8</v>
      </c>
    </row>
    <row r="19" spans="8:9" x14ac:dyDescent="0.3">
      <c r="H19">
        <f>AVERAGE(1.29,0.61,1.89)</f>
        <v>1.2633333333333334</v>
      </c>
      <c r="I19">
        <f t="shared" si="0"/>
        <v>8.5</v>
      </c>
    </row>
    <row r="20" spans="8:9" x14ac:dyDescent="0.3">
      <c r="H20">
        <f>AVERAGE(0.4,4.74,2.93)</f>
        <v>2.69</v>
      </c>
      <c r="I20">
        <f t="shared" si="0"/>
        <v>9</v>
      </c>
    </row>
    <row r="21" spans="8:9" x14ac:dyDescent="0.3">
      <c r="H21">
        <f>AVERAGE(5.4,4.95,4.09)</f>
        <v>4.8133333333333335</v>
      </c>
      <c r="I21">
        <f t="shared" si="0"/>
        <v>9.5</v>
      </c>
    </row>
    <row r="22" spans="8:9" x14ac:dyDescent="0.3">
      <c r="H22">
        <f>AVERAGE(8.05,7.6,8.37)</f>
        <v>8.0066666666666659</v>
      </c>
      <c r="I22">
        <f t="shared" si="0"/>
        <v>10</v>
      </c>
    </row>
    <row r="23" spans="8:9" x14ac:dyDescent="0.3">
      <c r="H23">
        <f>AVERAGE(11.57,14,10.4)</f>
        <v>11.99</v>
      </c>
      <c r="I23">
        <f t="shared" si="0"/>
        <v>10.5</v>
      </c>
    </row>
    <row r="24" spans="8:9" x14ac:dyDescent="0.3">
      <c r="H24">
        <f>AVERAGE(10.78,19.04,13.02)</f>
        <v>14.280000000000001</v>
      </c>
      <c r="I24">
        <f t="shared" si="0"/>
        <v>11</v>
      </c>
    </row>
    <row r="25" spans="8:9" x14ac:dyDescent="0.3">
      <c r="H25">
        <f>AVERAGE(14.56,12.63,12.51)</f>
        <v>13.233333333333334</v>
      </c>
      <c r="I25">
        <f t="shared" si="0"/>
        <v>11.5</v>
      </c>
    </row>
    <row r="26" spans="8:9" x14ac:dyDescent="0.3">
      <c r="H26">
        <f>AVERAGE(1.29,4.54,17.14)</f>
        <v>7.6566666666666663</v>
      </c>
      <c r="I26">
        <f t="shared" si="0"/>
        <v>12</v>
      </c>
    </row>
    <row r="27" spans="8:9" x14ac:dyDescent="0.3">
      <c r="H27">
        <f>AVERAGE(7.75,5.09,5.35)</f>
        <v>6.0633333333333326</v>
      </c>
      <c r="I27">
        <f t="shared" si="0"/>
        <v>12.5</v>
      </c>
    </row>
    <row r="28" spans="8:9" x14ac:dyDescent="0.3">
      <c r="H28">
        <f>AVERAGE(5.49,2.35,0.7)</f>
        <v>2.8466666666666662</v>
      </c>
      <c r="I28">
        <f t="shared" si="0"/>
        <v>13</v>
      </c>
    </row>
    <row r="29" spans="8:9" x14ac:dyDescent="0.3">
      <c r="H29">
        <f>AVERAGE(3.31,3.82,2.14)</f>
        <v>3.09</v>
      </c>
      <c r="I29">
        <f t="shared" si="0"/>
        <v>13.5</v>
      </c>
    </row>
    <row r="30" spans="8:9" x14ac:dyDescent="0.3">
      <c r="H30">
        <f>AVERAGE(0.76,0.31,0.29)</f>
        <v>0.45333333333333337</v>
      </c>
      <c r="I30">
        <f t="shared" si="0"/>
        <v>14</v>
      </c>
    </row>
    <row r="31" spans="8:9" x14ac:dyDescent="0.3">
      <c r="H31">
        <f>AVERAGE(1.23,1.5,0.73)</f>
        <v>1.1533333333333333</v>
      </c>
      <c r="I31">
        <f t="shared" si="0"/>
        <v>14.5</v>
      </c>
    </row>
    <row r="32" spans="8:9" x14ac:dyDescent="0.3">
      <c r="H32">
        <f>AVERAGE(2.15,2.62,1.78)</f>
        <v>2.1833333333333331</v>
      </c>
      <c r="I32">
        <f t="shared" si="0"/>
        <v>15</v>
      </c>
    </row>
    <row r="33" spans="8:9" x14ac:dyDescent="0.3">
      <c r="H33">
        <f>AVERAGE(1.39,0.56,4.58)</f>
        <v>2.1766666666666667</v>
      </c>
      <c r="I33">
        <f t="shared" si="0"/>
        <v>15.5</v>
      </c>
    </row>
    <row r="34" spans="8:9" x14ac:dyDescent="0.3">
      <c r="H34">
        <f>AVERAGE(1.56,1.37,2.89)</f>
        <v>1.9400000000000002</v>
      </c>
      <c r="I34">
        <f t="shared" si="0"/>
        <v>16</v>
      </c>
    </row>
    <row r="35" spans="8:9" x14ac:dyDescent="0.3">
      <c r="H35">
        <f>AVERAGE(1.25,1.28,2.05)</f>
        <v>1.5266666666666666</v>
      </c>
      <c r="I35">
        <f t="shared" si="0"/>
        <v>16.5</v>
      </c>
    </row>
    <row r="36" spans="8:9" x14ac:dyDescent="0.3">
      <c r="H36">
        <f>AVERAGE(1.42,2.38,1.69)</f>
        <v>1.83</v>
      </c>
      <c r="I36">
        <f t="shared" si="0"/>
        <v>17</v>
      </c>
    </row>
    <row r="37" spans="8:9" x14ac:dyDescent="0.3">
      <c r="H37">
        <f>AVERAGE(3.59,1.85,2.71)</f>
        <v>2.7166666666666663</v>
      </c>
      <c r="I37">
        <f t="shared" si="0"/>
        <v>17.5</v>
      </c>
    </row>
    <row r="38" spans="8:9" x14ac:dyDescent="0.3">
      <c r="H38">
        <f>AVERAGE(4.27,1.25,1)</f>
        <v>2.1733333333333333</v>
      </c>
      <c r="I38">
        <f t="shared" si="0"/>
        <v>18</v>
      </c>
    </row>
    <row r="39" spans="8:9" x14ac:dyDescent="0.3">
      <c r="H39">
        <f>AVERAGE(2.24,2.25,5.23)</f>
        <v>3.24</v>
      </c>
      <c r="I39">
        <f t="shared" si="0"/>
        <v>18.5</v>
      </c>
    </row>
    <row r="40" spans="8:9" x14ac:dyDescent="0.3">
      <c r="H40">
        <f>AVERAGE(3.37,4.26,3.14)</f>
        <v>3.59</v>
      </c>
      <c r="I40">
        <f t="shared" si="0"/>
        <v>19</v>
      </c>
    </row>
    <row r="41" spans="8:9" x14ac:dyDescent="0.3">
      <c r="H41">
        <f>AVERAGE(7.58,5.54,3.37)</f>
        <v>5.496666666666667</v>
      </c>
      <c r="I41">
        <f t="shared" si="0"/>
        <v>19.5</v>
      </c>
    </row>
    <row r="42" spans="8:9" x14ac:dyDescent="0.3">
      <c r="H42">
        <f>AVERAGE(5.6,4.7,2.77)</f>
        <v>4.3566666666666665</v>
      </c>
      <c r="I42">
        <f t="shared" si="0"/>
        <v>20</v>
      </c>
    </row>
    <row r="43" spans="8:9" x14ac:dyDescent="0.3">
      <c r="H43">
        <f>AVERAGE(5.2,6.85,6.39)</f>
        <v>6.1466666666666674</v>
      </c>
      <c r="I43">
        <f t="shared" si="0"/>
        <v>20.5</v>
      </c>
    </row>
    <row r="44" spans="8:9" x14ac:dyDescent="0.3">
      <c r="H44">
        <f>AVERAGE(11.35,7.15,12.81)</f>
        <v>10.436666666666667</v>
      </c>
      <c r="I44">
        <f t="shared" si="0"/>
        <v>21</v>
      </c>
    </row>
    <row r="45" spans="8:9" x14ac:dyDescent="0.3">
      <c r="H45">
        <f>AVERAGE(11.21,15.64,5.24)</f>
        <v>10.696666666666667</v>
      </c>
      <c r="I45">
        <f t="shared" si="0"/>
        <v>21.5</v>
      </c>
    </row>
    <row r="46" spans="8:9" x14ac:dyDescent="0.3">
      <c r="H46">
        <f>AVERAGE(0.49,0.43,3.48)</f>
        <v>1.4666666666666668</v>
      </c>
      <c r="I46">
        <f t="shared" si="0"/>
        <v>22</v>
      </c>
    </row>
    <row r="47" spans="8:9" x14ac:dyDescent="0.3">
      <c r="H47">
        <f>AVERAGE(3.57,7.82,5.61)</f>
        <v>5.666666666666667</v>
      </c>
      <c r="I47">
        <f t="shared" si="0"/>
        <v>22.5</v>
      </c>
    </row>
    <row r="48" spans="8:9" x14ac:dyDescent="0.3">
      <c r="H48">
        <f>AVERAGE(11.98,8.3,21.63)</f>
        <v>13.969999999999999</v>
      </c>
      <c r="I48">
        <f t="shared" si="0"/>
        <v>23</v>
      </c>
    </row>
    <row r="49" spans="8:9" x14ac:dyDescent="0.3">
      <c r="H49">
        <f>AVERAGE(10.25,14.54,10.52)</f>
        <v>11.770000000000001</v>
      </c>
      <c r="I49">
        <f t="shared" si="0"/>
        <v>23.5</v>
      </c>
    </row>
    <row r="50" spans="8:9" x14ac:dyDescent="0.3">
      <c r="H50">
        <f>AVERAGE(4.8,5.89,3.22)</f>
        <v>4.6366666666666667</v>
      </c>
      <c r="I50">
        <f t="shared" si="0"/>
        <v>24</v>
      </c>
    </row>
    <row r="51" spans="8:9" x14ac:dyDescent="0.3">
      <c r="H51">
        <f>AVERAGE(4.97,0.91,5)</f>
        <v>3.6266666666666665</v>
      </c>
      <c r="I51">
        <v>24.5</v>
      </c>
    </row>
    <row r="52" spans="8:9" x14ac:dyDescent="0.3">
      <c r="H52">
        <f>AVERAGE(4.43,3.49,4.86)</f>
        <v>4.2600000000000007</v>
      </c>
      <c r="I52">
        <v>24.5</v>
      </c>
    </row>
    <row r="53" spans="8:9" x14ac:dyDescent="0.3">
      <c r="H53">
        <f>AVERAGE(0.91,4.02,0.78)</f>
        <v>1.9033333333333333</v>
      </c>
      <c r="I53">
        <v>24.5</v>
      </c>
    </row>
    <row r="54" spans="8:9" x14ac:dyDescent="0.3">
      <c r="H54">
        <f>AVERAGE(5.3,1.77,1.26)</f>
        <v>2.7766666666666668</v>
      </c>
      <c r="I54">
        <v>24.5</v>
      </c>
    </row>
    <row r="55" spans="8:9" x14ac:dyDescent="0.3">
      <c r="H55">
        <f>AVERAGE(3.24,0.45,3.86)</f>
        <v>2.5166666666666671</v>
      </c>
      <c r="I55">
        <v>24.5</v>
      </c>
    </row>
    <row r="56" spans="8:9" x14ac:dyDescent="0.3">
      <c r="H56">
        <f>AVERAGE(0.65,2.19,0.31)</f>
        <v>1.05</v>
      </c>
      <c r="I56">
        <v>24.5</v>
      </c>
    </row>
    <row r="57" spans="8:9" x14ac:dyDescent="0.3">
      <c r="H57">
        <f>AVERAGE(2.73,0.87,0.33)</f>
        <v>1.31</v>
      </c>
      <c r="I57">
        <v>24.5</v>
      </c>
    </row>
    <row r="58" spans="8:9" x14ac:dyDescent="0.3">
      <c r="H58">
        <f>AVERAGE(0.77,1.39,0.39)</f>
        <v>0.85000000000000009</v>
      </c>
      <c r="I58">
        <v>24.5</v>
      </c>
    </row>
    <row r="59" spans="8:9" x14ac:dyDescent="0.3">
      <c r="H59">
        <f>AVERAGE(2.31,2.13,1.4)</f>
        <v>1.9466666666666665</v>
      </c>
      <c r="I59">
        <v>24.5</v>
      </c>
    </row>
    <row r="60" spans="8:9" x14ac:dyDescent="0.3">
      <c r="H60">
        <f>AVERAGE(3.43,2.22,1.21)</f>
        <v>2.2866666666666666</v>
      </c>
      <c r="I60">
        <v>24.5</v>
      </c>
    </row>
    <row r="61" spans="8:9" x14ac:dyDescent="0.3">
      <c r="H61">
        <f>AVERAGE(2.46,1.16,0.92)</f>
        <v>1.5133333333333334</v>
      </c>
      <c r="I61">
        <v>24.5</v>
      </c>
    </row>
    <row r="62" spans="8:9" x14ac:dyDescent="0.3">
      <c r="H62">
        <f>AVERAGE(6.61,11.05,8.25)</f>
        <v>8.6366666666666667</v>
      </c>
    </row>
    <row r="63" spans="8:9" x14ac:dyDescent="0.3">
      <c r="H63">
        <f>AVERAGE(8.19,8.55,14.78)</f>
        <v>10.506666666666668</v>
      </c>
    </row>
    <row r="64" spans="8:9" x14ac:dyDescent="0.3">
      <c r="H64">
        <f>AVERAGE(10.28,7.48,4.68)</f>
        <v>7.4799999999999995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V</dc:creator>
  <cp:lastModifiedBy>Andrés V</cp:lastModifiedBy>
  <dcterms:created xsi:type="dcterms:W3CDTF">2026-04-27T14:31:11Z</dcterms:created>
  <dcterms:modified xsi:type="dcterms:W3CDTF">2026-05-10T06:57:13Z</dcterms:modified>
</cp:coreProperties>
</file>